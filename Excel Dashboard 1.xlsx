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KSCHI SHAW\Downloads\"/>
    </mc:Choice>
  </mc:AlternateContent>
  <xr:revisionPtr revIDLastSave="0" documentId="13_ncr:1_{322AAFB5-7592-468A-85DB-57DE8FD14CBE}" xr6:coauthVersionLast="47" xr6:coauthVersionMax="47" xr10:uidLastSave="{00000000-0000-0000-0000-000000000000}"/>
  <bookViews>
    <workbookView xWindow="-108" yWindow="-108" windowWidth="23256" windowHeight="12456" activeTab="5" xr2:uid="{00000000-000D-0000-FFFF-FFFF00000000}"/>
  </bookViews>
  <sheets>
    <sheet name="Production Dataset" sheetId="1" r:id="rId1"/>
    <sheet name="Pivot 1" sheetId="8" r:id="rId2"/>
    <sheet name="pivot2" sheetId="10" r:id="rId3"/>
    <sheet name="pivot 3" sheetId="11" r:id="rId4"/>
    <sheet name="pivot 4" sheetId="12" r:id="rId5"/>
    <sheet name="dashboard" sheetId="9" r:id="rId6"/>
  </sheets>
  <definedNames>
    <definedName name="_xlnm._FilterDatabase" localSheetId="0" hidden="1">'Production Dataset'!$A$1:$K$121</definedName>
    <definedName name="Slicer_Gender">#N/A</definedName>
    <definedName name="Slicer_Manager">#N/A</definedName>
    <definedName name="Slicer_ProductTyp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<sst xmlns="http://schemas.openxmlformats.org/spreadsheetml/2006/main" count="522" uniqueCount="46">
  <si>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</si>
  <si>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</si>
  <si>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</si>
  <si>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</si>
  <si>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</si>
  <si>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</si>
  <si>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</si>
  <si>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</si>
  <si>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</si>
  <si>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</si>
  <si>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</si>
  <si>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</si>
  <si>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</si>
  <si>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</si>
  <si>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</si>
  <si>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</si>
  <si>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</si>
  <si>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</si>
  <si>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</si>
  <si>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</si>
  <si>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</si>
  <si>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</si>
  <si>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</si>
  <si>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</si>
  <si>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</si>
  <si>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</si>
  <si>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</si>
  <si>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</si>
  <si>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</si>
  <si>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</si>
  <si>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</si>
  <si>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</si>
  <si>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</si>
  <si>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</si>
  <si>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</si>
  <si>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Sum of ProductionID</t>
  </si>
  <si>
    <t>2023</t>
  </si>
  <si>
    <t>2024</t>
  </si>
  <si>
    <t>Sum of UnitsProduced</t>
  </si>
  <si>
    <t>Oct</t>
  </si>
  <si>
    <t>Nov</t>
  </si>
  <si>
    <t>Jan</t>
  </si>
  <si>
    <t>Feb</t>
  </si>
  <si>
    <t>Apr</t>
  </si>
  <si>
    <t>Sum of Production Cost Per Unit</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</si>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</sst>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3">
    <dxf>
      <numFmt numFmtId="164" formatCode="_(* #,##0_);_(* \(#,##0\);_(* &quot;-&quot;??_);_(@_)"/>
    </dxf>
    <dxf>
      <numFmt numFmtId="164" formatCode="_(* #,##0_);_(* \(#,##0\);_(* &quot;-&quot;??_);_(@_)"/>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1'!$A$4:$A$5</c:f>
              <c:strCache>
                <c:ptCount val="1"/>
                <c:pt idx="0">
                  <c:v>Machinery</c:v>
                </c:pt>
              </c:strCache>
            </c:strRef>
          </c:cat>
          <c:val>
            <c:numRef>
              <c:f>'Pivot 1'!$B$4:$B$5</c:f>
              <c:numCache>
                <c:formatCode>_(* #,##0_);_(* \(#,##0\);_(* "-"??_);_(@_)</c:formatCode>
                <c:ptCount val="1"/>
                <c:pt idx="0">
                  <c:v>61594</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Number of task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pivot2!$A$4:$A$11</c:f>
              <c:strCache>
                <c:ptCount val="7"/>
                <c:pt idx="0">
                  <c:v>Andrew Blue</c:v>
                </c:pt>
                <c:pt idx="1">
                  <c:v>Chris Green</c:v>
                </c:pt>
                <c:pt idx="2">
                  <c:v>Emily Davis</c:v>
                </c:pt>
                <c:pt idx="3">
                  <c:v>Jane Smith</c:v>
                </c:pt>
                <c:pt idx="4">
                  <c:v>John Doe</c:v>
                </c:pt>
                <c:pt idx="5">
                  <c:v>Mike Brown</c:v>
                </c:pt>
                <c:pt idx="6">
                  <c:v>Nancy Grey</c:v>
                </c:pt>
              </c:strCache>
            </c:strRef>
          </c:cat>
          <c:val>
            <c:numRef>
              <c:f>pivot2!$B$4:$B$11</c:f>
              <c:numCache>
                <c:formatCode>General</c:formatCode>
                <c:ptCount val="7"/>
                <c:pt idx="0">
                  <c:v>107</c:v>
                </c:pt>
                <c:pt idx="1">
                  <c:v>68</c:v>
                </c:pt>
                <c:pt idx="2">
                  <c:v>42</c:v>
                </c:pt>
                <c:pt idx="3">
                  <c:v>67</c:v>
                </c:pt>
                <c:pt idx="4">
                  <c:v>76</c:v>
                </c:pt>
                <c:pt idx="5">
                  <c:v>317</c:v>
                </c:pt>
                <c:pt idx="6">
                  <c:v>15</c:v>
                </c:pt>
              </c:numCache>
            </c:numRef>
          </c:val>
          <c:extLst>
            <c:ext xmlns:c16="http://schemas.microsoft.com/office/drawing/2014/chart" uri="{C3380CC4-5D6E-409C-BE32-E72D297353CC}">
              <c16:uniqueId val="{00000000-DF8F-4B7D-83D1-BBFC169EB942}"/>
            </c:ext>
          </c:extLst>
        </c:ser>
        <c:dLbls>
          <c:showLegendKey val="0"/>
          <c:showVal val="1"/>
          <c:showCatName val="0"/>
          <c:showSerName val="0"/>
          <c:showPercent val="0"/>
          <c:showBubbleSize val="0"/>
        </c:dLbls>
        <c:gapWidth val="150"/>
        <c:shape val="box"/>
        <c:axId val="1086126704"/>
        <c:axId val="1086127664"/>
        <c:axId val="0"/>
      </c:bar3DChart>
      <c:catAx>
        <c:axId val="1086126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6127664"/>
        <c:crosses val="autoZero"/>
        <c:auto val="1"/>
        <c:lblAlgn val="ctr"/>
        <c:lblOffset val="100"/>
        <c:noMultiLvlLbl val="0"/>
      </c:catAx>
      <c:valAx>
        <c:axId val="1086127664"/>
        <c:scaling>
          <c:orientation val="minMax"/>
        </c:scaling>
        <c:delete val="1"/>
        <c:axPos val="b"/>
        <c:numFmt formatCode="General" sourceLinked="1"/>
        <c:majorTickMark val="out"/>
        <c:minorTickMark val="none"/>
        <c:tickLblPos val="nextTo"/>
        <c:crossAx val="10861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3!PivotTable2</c:name>
    <c:fmtId val="3"/>
  </c:pivotSource>
  <c:chart>
    <c:title>
      <c:tx>
        <c:rich>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r>
              <a:rPr lang="en-US" sz="1600" b="1" i="1" u="sng"/>
              <a:t>Total unit</a:t>
            </a:r>
            <a:r>
              <a:rPr lang="en-US" sz="1600" b="1" i="1" u="sng" baseline="0"/>
              <a:t> produced by month / year</a:t>
            </a:r>
            <a:endParaRPr lang="en-US" sz="1600" b="1" i="1" u="sng"/>
          </a:p>
        </c:rich>
      </c:tx>
      <c:overlay val="0"/>
      <c:spPr>
        <a:noFill/>
        <a:ln>
          <a:noFill/>
        </a:ln>
        <a:effectLst/>
      </c:spPr>
      <c:txPr>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tx1">
                <a:lumMod val="50000"/>
                <a:lumOff val="5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3'!$A$4:$A$11</c:f>
              <c:multiLvlStrCache>
                <c:ptCount val="5"/>
                <c:lvl>
                  <c:pt idx="0">
                    <c:v>Oct</c:v>
                  </c:pt>
                  <c:pt idx="1">
                    <c:v>Nov</c:v>
                  </c:pt>
                  <c:pt idx="2">
                    <c:v>Jan</c:v>
                  </c:pt>
                  <c:pt idx="3">
                    <c:v>Feb</c:v>
                  </c:pt>
                  <c:pt idx="4">
                    <c:v>Apr</c:v>
                  </c:pt>
                </c:lvl>
                <c:lvl>
                  <c:pt idx="0">
                    <c:v>2023</c:v>
                  </c:pt>
                  <c:pt idx="2">
                    <c:v>2024</c:v>
                  </c:pt>
                </c:lvl>
              </c:multiLvlStrCache>
            </c:multiLvlStrRef>
          </c:cat>
          <c:val>
            <c:numRef>
              <c:f>'pivot 3'!$B$4:$B$11</c:f>
              <c:numCache>
                <c:formatCode>General</c:formatCode>
                <c:ptCount val="5"/>
                <c:pt idx="0">
                  <c:v>957</c:v>
                </c:pt>
                <c:pt idx="1">
                  <c:v>637</c:v>
                </c:pt>
                <c:pt idx="2">
                  <c:v>199</c:v>
                </c:pt>
                <c:pt idx="3">
                  <c:v>688</c:v>
                </c:pt>
                <c:pt idx="4">
                  <c:v>1081</c:v>
                </c:pt>
              </c:numCache>
            </c:numRef>
          </c:val>
          <c:smooth val="0"/>
          <c:extLst>
            <c:ext xmlns:c16="http://schemas.microsoft.com/office/drawing/2014/chart" uri="{C3380CC4-5D6E-409C-BE32-E72D297353CC}">
              <c16:uniqueId val="{00000000-F12A-4C98-BD5F-CC959D787681}"/>
            </c:ext>
          </c:extLst>
        </c:ser>
        <c:dLbls>
          <c:showLegendKey val="0"/>
          <c:showVal val="1"/>
          <c:showCatName val="0"/>
          <c:showSerName val="0"/>
          <c:showPercent val="0"/>
          <c:showBubbleSize val="0"/>
        </c:dLbls>
        <c:axId val="1294994448"/>
        <c:axId val="1294985808"/>
        <c:axId val="1255713280"/>
      </c:line3DChart>
      <c:catAx>
        <c:axId val="12949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4985808"/>
        <c:crosses val="autoZero"/>
        <c:auto val="1"/>
        <c:lblAlgn val="ctr"/>
        <c:lblOffset val="100"/>
        <c:noMultiLvlLbl val="0"/>
      </c:catAx>
      <c:valAx>
        <c:axId val="12949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4994448"/>
        <c:crosses val="autoZero"/>
        <c:crossBetween val="between"/>
      </c:valAx>
      <c:serAx>
        <c:axId val="1255713280"/>
        <c:scaling>
          <c:orientation val="minMax"/>
        </c:scaling>
        <c:delete val="1"/>
        <c:axPos val="b"/>
        <c:majorTickMark val="out"/>
        <c:minorTickMark val="none"/>
        <c:tickLblPos val="nextTo"/>
        <c:crossAx val="12949858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u="sng"/>
              <a:t>Average</a:t>
            </a:r>
            <a:r>
              <a:rPr lang="en-US" sz="1200" b="1" i="1" u="sng" baseline="0"/>
              <a:t> production cost per unit by product type</a:t>
            </a:r>
            <a:endParaRPr lang="en-US" sz="12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03-419C-BE2A-EA273D611D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03-419C-BE2A-EA273D611D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03-419C-BE2A-EA273D611D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4'!$A$4:$A$7</c:f>
              <c:strCache>
                <c:ptCount val="3"/>
                <c:pt idx="0">
                  <c:v>Automobiles</c:v>
                </c:pt>
                <c:pt idx="1">
                  <c:v>Electronics</c:v>
                </c:pt>
                <c:pt idx="2">
                  <c:v>Machinery</c:v>
                </c:pt>
              </c:strCache>
            </c:strRef>
          </c:cat>
          <c:val>
            <c:numRef>
              <c:f>'pivot 4'!$B$4:$B$7</c:f>
              <c:numCache>
                <c:formatCode>0</c:formatCode>
                <c:ptCount val="3"/>
                <c:pt idx="0">
                  <c:v>655.06212088883842</c:v>
                </c:pt>
                <c:pt idx="1">
                  <c:v>405.83653846153845</c:v>
                </c:pt>
                <c:pt idx="2">
                  <c:v>157.23553511006941</c:v>
                </c:pt>
              </c:numCache>
            </c:numRef>
          </c:val>
          <c:extLst>
            <c:ext xmlns:c16="http://schemas.microsoft.com/office/drawing/2014/chart" uri="{C3380CC4-5D6E-409C-BE32-E72D297353CC}">
              <c16:uniqueId val="{00000000-E27B-4DB8-AC0C-EF2D64EE7C7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1'!$A$4:$A$5</c:f>
              <c:strCache>
                <c:ptCount val="1"/>
                <c:pt idx="0">
                  <c:v>Machinery</c:v>
                </c:pt>
              </c:strCache>
            </c:strRef>
          </c:cat>
          <c:val>
            <c:numRef>
              <c:f>'Pivot 1'!$B$4:$B$5</c:f>
              <c:numCache>
                <c:formatCode>_(* #,##0_);_(* \(#,##0\);_(* "-"??_);_(@_)</c:formatCode>
                <c:ptCount val="1"/>
                <c:pt idx="0">
                  <c:v>61594</c:v>
                </c:pt>
              </c:numCache>
            </c:numRef>
          </c:val>
          <c:extLst>
            <c:ext xmlns:c16="http://schemas.microsoft.com/office/drawing/2014/chart" uri="{C3380CC4-5D6E-409C-BE32-E72D297353CC}">
              <c16:uniqueId val="{00000000-CAA0-4740-B976-193E563D2D0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number of task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pivot2!$A$4:$A$11</c:f>
              <c:strCache>
                <c:ptCount val="7"/>
                <c:pt idx="0">
                  <c:v>Andrew Blue</c:v>
                </c:pt>
                <c:pt idx="1">
                  <c:v>Chris Green</c:v>
                </c:pt>
                <c:pt idx="2">
                  <c:v>Emily Davis</c:v>
                </c:pt>
                <c:pt idx="3">
                  <c:v>Jane Smith</c:v>
                </c:pt>
                <c:pt idx="4">
                  <c:v>John Doe</c:v>
                </c:pt>
                <c:pt idx="5">
                  <c:v>Mike Brown</c:v>
                </c:pt>
                <c:pt idx="6">
                  <c:v>Nancy Grey</c:v>
                </c:pt>
              </c:strCache>
            </c:strRef>
          </c:cat>
          <c:val>
            <c:numRef>
              <c:f>pivot2!$B$4:$B$11</c:f>
              <c:numCache>
                <c:formatCode>General</c:formatCode>
                <c:ptCount val="7"/>
                <c:pt idx="0">
                  <c:v>107</c:v>
                </c:pt>
                <c:pt idx="1">
                  <c:v>68</c:v>
                </c:pt>
                <c:pt idx="2">
                  <c:v>42</c:v>
                </c:pt>
                <c:pt idx="3">
                  <c:v>67</c:v>
                </c:pt>
                <c:pt idx="4">
                  <c:v>76</c:v>
                </c:pt>
                <c:pt idx="5">
                  <c:v>317</c:v>
                </c:pt>
                <c:pt idx="6">
                  <c:v>15</c:v>
                </c:pt>
              </c:numCache>
            </c:numRef>
          </c:val>
          <c:extLst>
            <c:ext xmlns:c16="http://schemas.microsoft.com/office/drawing/2014/chart" uri="{C3380CC4-5D6E-409C-BE32-E72D297353CC}">
              <c16:uniqueId val="{00000000-3BA3-4254-B6B6-787F749780E3}"/>
            </c:ext>
          </c:extLst>
        </c:ser>
        <c:dLbls>
          <c:showLegendKey val="0"/>
          <c:showVal val="1"/>
          <c:showCatName val="0"/>
          <c:showSerName val="0"/>
          <c:showPercent val="0"/>
          <c:showBubbleSize val="0"/>
        </c:dLbls>
        <c:gapWidth val="150"/>
        <c:shape val="box"/>
        <c:axId val="1086126704"/>
        <c:axId val="1086127664"/>
        <c:axId val="0"/>
      </c:bar3DChart>
      <c:catAx>
        <c:axId val="1086126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6127664"/>
        <c:crosses val="autoZero"/>
        <c:auto val="1"/>
        <c:lblAlgn val="ctr"/>
        <c:lblOffset val="100"/>
        <c:noMultiLvlLbl val="0"/>
      </c:catAx>
      <c:valAx>
        <c:axId val="1086127664"/>
        <c:scaling>
          <c:orientation val="minMax"/>
        </c:scaling>
        <c:delete val="1"/>
        <c:axPos val="b"/>
        <c:numFmt formatCode="General" sourceLinked="1"/>
        <c:majorTickMark val="out"/>
        <c:minorTickMark val="none"/>
        <c:tickLblPos val="nextTo"/>
        <c:crossAx val="10861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3!PivotTable2</c:name>
    <c:fmtId val="5"/>
  </c:pivotSource>
  <c:chart>
    <c:title>
      <c:tx>
        <c:rich>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r>
              <a:rPr lang="en-US" sz="1600" b="1" i="1" u="sng"/>
              <a:t>Total unit</a:t>
            </a:r>
            <a:r>
              <a:rPr lang="en-US" sz="1600" b="1" i="1" u="sng" baseline="0"/>
              <a:t> produced by month / year</a:t>
            </a:r>
            <a:endParaRPr lang="en-US" sz="1600" b="1" i="1" u="sng"/>
          </a:p>
        </c:rich>
      </c:tx>
      <c:overlay val="0"/>
      <c:spPr>
        <a:noFill/>
        <a:ln>
          <a:noFill/>
        </a:ln>
        <a:effectLst/>
      </c:spPr>
      <c:txPr>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tx1">
                <a:lumMod val="50000"/>
                <a:lumOff val="5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3'!$A$4:$A$11</c:f>
              <c:multiLvlStrCache>
                <c:ptCount val="5"/>
                <c:lvl>
                  <c:pt idx="0">
                    <c:v>Oct</c:v>
                  </c:pt>
                  <c:pt idx="1">
                    <c:v>Nov</c:v>
                  </c:pt>
                  <c:pt idx="2">
                    <c:v>Jan</c:v>
                  </c:pt>
                  <c:pt idx="3">
                    <c:v>Feb</c:v>
                  </c:pt>
                  <c:pt idx="4">
                    <c:v>Apr</c:v>
                  </c:pt>
                </c:lvl>
                <c:lvl>
                  <c:pt idx="0">
                    <c:v>2023</c:v>
                  </c:pt>
                  <c:pt idx="2">
                    <c:v>2024</c:v>
                  </c:pt>
                </c:lvl>
              </c:multiLvlStrCache>
            </c:multiLvlStrRef>
          </c:cat>
          <c:val>
            <c:numRef>
              <c:f>'pivot 3'!$B$4:$B$11</c:f>
              <c:numCache>
                <c:formatCode>General</c:formatCode>
                <c:ptCount val="5"/>
                <c:pt idx="0">
                  <c:v>957</c:v>
                </c:pt>
                <c:pt idx="1">
                  <c:v>637</c:v>
                </c:pt>
                <c:pt idx="2">
                  <c:v>199</c:v>
                </c:pt>
                <c:pt idx="3">
                  <c:v>688</c:v>
                </c:pt>
                <c:pt idx="4">
                  <c:v>1081</c:v>
                </c:pt>
              </c:numCache>
            </c:numRef>
          </c:val>
          <c:smooth val="0"/>
          <c:extLst>
            <c:ext xmlns:c16="http://schemas.microsoft.com/office/drawing/2014/chart" uri="{C3380CC4-5D6E-409C-BE32-E72D297353CC}">
              <c16:uniqueId val="{00000000-5210-49A9-B67F-1692BBF2399D}"/>
            </c:ext>
          </c:extLst>
        </c:ser>
        <c:dLbls>
          <c:showLegendKey val="0"/>
          <c:showVal val="1"/>
          <c:showCatName val="0"/>
          <c:showSerName val="0"/>
          <c:showPercent val="0"/>
          <c:showBubbleSize val="0"/>
        </c:dLbls>
        <c:axId val="1294994448"/>
        <c:axId val="1294985808"/>
        <c:axId val="1255713280"/>
      </c:line3DChart>
      <c:catAx>
        <c:axId val="12949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4985808"/>
        <c:crosses val="autoZero"/>
        <c:auto val="1"/>
        <c:lblAlgn val="ctr"/>
        <c:lblOffset val="100"/>
        <c:noMultiLvlLbl val="0"/>
      </c:catAx>
      <c:valAx>
        <c:axId val="12949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4994448"/>
        <c:crosses val="autoZero"/>
        <c:crossBetween val="between"/>
      </c:valAx>
      <c:serAx>
        <c:axId val="1255713280"/>
        <c:scaling>
          <c:orientation val="minMax"/>
        </c:scaling>
        <c:delete val="1"/>
        <c:axPos val="b"/>
        <c:majorTickMark val="out"/>
        <c:minorTickMark val="none"/>
        <c:tickLblPos val="nextTo"/>
        <c:crossAx val="129498580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 (1).xlsx]pivot 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u="sng"/>
              <a:t>Average</a:t>
            </a:r>
            <a:r>
              <a:rPr lang="en-US" sz="1200" b="1" i="1" u="sng" baseline="0"/>
              <a:t> production cost per unit by product type</a:t>
            </a:r>
            <a:endParaRPr lang="en-US" sz="12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FD-4C33-9567-BFF09BA85C4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FD-4C33-9567-BFF09BA85C4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FD-4C33-9567-BFF09BA85C4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FD-4C33-9567-BFF09BA85C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4'!$A$4:$A$7</c:f>
              <c:strCache>
                <c:ptCount val="3"/>
                <c:pt idx="0">
                  <c:v>Automobiles</c:v>
                </c:pt>
                <c:pt idx="1">
                  <c:v>Electronics</c:v>
                </c:pt>
                <c:pt idx="2">
                  <c:v>Machinery</c:v>
                </c:pt>
              </c:strCache>
            </c:strRef>
          </c:cat>
          <c:val>
            <c:numRef>
              <c:f>'pivot 4'!$B$4:$B$7</c:f>
              <c:numCache>
                <c:formatCode>0</c:formatCode>
                <c:ptCount val="3"/>
                <c:pt idx="0">
                  <c:v>655.06212088883842</c:v>
                </c:pt>
                <c:pt idx="1">
                  <c:v>405.83653846153845</c:v>
                </c:pt>
                <c:pt idx="2">
                  <c:v>157.23553511006941</c:v>
                </c:pt>
              </c:numCache>
            </c:numRef>
          </c:val>
          <c:extLst>
            <c:ext xmlns:c16="http://schemas.microsoft.com/office/drawing/2014/chart" uri="{C3380CC4-5D6E-409C-BE32-E72D297353CC}">
              <c16:uniqueId val="{00000008-D1FD-4C33-9567-BFF09BA85C4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518160</xdr:colOff>
      <xdr:row>0</xdr:row>
      <xdr:rowOff>118110</xdr:rowOff>
    </xdr:from>
    <xdr:to>
      <xdr:col>13</xdr:col>
      <xdr:colOff>480060</xdr:colOff>
      <xdr:row>18</xdr:row>
      <xdr:rowOff>60960</xdr:rowOff>
    </xdr:to>
    <xdr:graphicFrame macro="">
      <xdr:nvGraphicFramePr>
        <xdr:cNvPr id="2" name="Chart 1">
          <a:extLst>
            <a:ext uri="{FF2B5EF4-FFF2-40B4-BE49-F238E27FC236}">
              <a16:creationId xmlns:a16="http://schemas.microsoft.com/office/drawing/2014/main" id="{AD9A56D3-11CC-0F77-B269-65D1C701D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3</xdr:row>
      <xdr:rowOff>11430</xdr:rowOff>
    </xdr:from>
    <xdr:to>
      <xdr:col>12</xdr:col>
      <xdr:colOff>487680</xdr:colOff>
      <xdr:row>17</xdr:row>
      <xdr:rowOff>45720</xdr:rowOff>
    </xdr:to>
    <xdr:graphicFrame macro="">
      <xdr:nvGraphicFramePr>
        <xdr:cNvPr id="2" name="Chart 1">
          <a:extLst>
            <a:ext uri="{FF2B5EF4-FFF2-40B4-BE49-F238E27FC236}">
              <a16:creationId xmlns:a16="http://schemas.microsoft.com/office/drawing/2014/main" id="{39B084DA-0BF2-1D09-0506-6337DC1BA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110490</xdr:rowOff>
    </xdr:from>
    <xdr:to>
      <xdr:col>10</xdr:col>
      <xdr:colOff>266700</xdr:colOff>
      <xdr:row>16</xdr:row>
      <xdr:rowOff>110490</xdr:rowOff>
    </xdr:to>
    <xdr:graphicFrame macro="">
      <xdr:nvGraphicFramePr>
        <xdr:cNvPr id="2" name="Chart 1">
          <a:extLst>
            <a:ext uri="{FF2B5EF4-FFF2-40B4-BE49-F238E27FC236}">
              <a16:creationId xmlns:a16="http://schemas.microsoft.com/office/drawing/2014/main" id="{16AC13EE-8D72-436F-9DDE-8C22DE110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594360</xdr:colOff>
      <xdr:row>3</xdr:row>
      <xdr:rowOff>0</xdr:rowOff>
    </xdr:from>
    <xdr:to>
      <xdr:col>11</xdr:col>
      <xdr:colOff>137160</xdr:colOff>
      <xdr:row>24</xdr:row>
      <xdr:rowOff>140970</xdr:rowOff>
    </xdr:to>
    <xdr:graphicFrame macro="">
      <xdr:nvGraphicFramePr>
        <xdr:cNvPr id="2" name="Chart 1">
          <a:extLst>
            <a:ext uri="{FF2B5EF4-FFF2-40B4-BE49-F238E27FC236}">
              <a16:creationId xmlns:a16="http://schemas.microsoft.com/office/drawing/2014/main" id="{7FA3D5EC-9834-4128-AE89-EC08B8B0F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236220</xdr:colOff>
      <xdr:row>3</xdr:row>
      <xdr:rowOff>15240</xdr:rowOff>
    </xdr:from>
    <xdr:to>
      <xdr:col>21</xdr:col>
      <xdr:colOff>198120</xdr:colOff>
      <xdr:row>24</xdr:row>
      <xdr:rowOff>91440</xdr:rowOff>
    </xdr:to>
    <xdr:graphicFrame macro="">
      <xdr:nvGraphicFramePr>
        <xdr:cNvPr id="3" name="Chart 2">
          <a:extLst>
            <a:ext uri="{FF2B5EF4-FFF2-40B4-BE49-F238E27FC236}">
              <a16:creationId xmlns:a16="http://schemas.microsoft.com/office/drawing/2014/main" id="{766C838B-CCEA-4257-8EC6-1A4BC516C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525780</xdr:colOff>
      <xdr:row>24</xdr:row>
      <xdr:rowOff>167640</xdr:rowOff>
    </xdr:from>
    <xdr:to>
      <xdr:col>11</xdr:col>
      <xdr:colOff>106680</xdr:colOff>
      <xdr:row>39</xdr:row>
      <xdr:rowOff>19050</xdr:rowOff>
    </xdr:to>
    <xdr:graphicFrame macro="">
      <xdr:nvGraphicFramePr>
        <xdr:cNvPr id="4" name="Chart 3">
          <a:extLst>
            <a:ext uri="{FF2B5EF4-FFF2-40B4-BE49-F238E27FC236}">
              <a16:creationId xmlns:a16="http://schemas.microsoft.com/office/drawing/2014/main" id="{DF9CAE7E-B6D6-4662-A816-6CE8B6C55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312420</xdr:colOff>
      <xdr:row>25</xdr:row>
      <xdr:rowOff>22860</xdr:rowOff>
    </xdr:from>
    <xdr:to>
      <xdr:col>19</xdr:col>
      <xdr:colOff>7620</xdr:colOff>
      <xdr:row>40</xdr:row>
      <xdr:rowOff>22860</xdr:rowOff>
    </xdr:to>
    <xdr:graphicFrame macro="">
      <xdr:nvGraphicFramePr>
        <xdr:cNvPr id="5" name="Chart 4">
          <a:extLst>
            <a:ext uri="{FF2B5EF4-FFF2-40B4-BE49-F238E27FC236}">
              <a16:creationId xmlns:a16="http://schemas.microsoft.com/office/drawing/2014/main" id="{D913491D-EEF0-4EF8-9080-A7FE8750A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342900</xdr:colOff>
      <xdr:row>17</xdr:row>
      <xdr:rowOff>121921</xdr:rowOff>
    </xdr:from>
    <xdr:to>
      <xdr:col>23</xdr:col>
      <xdr:colOff>106680</xdr:colOff>
      <xdr:row>25</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329CA79-1B4F-D8FD-0767-425C8BB280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34900" y="3310598"/>
              <a:ext cx="1592580" cy="1447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25</xdr:row>
      <xdr:rowOff>76200</xdr:rowOff>
    </xdr:from>
    <xdr:to>
      <xdr:col>23</xdr:col>
      <xdr:colOff>222738</xdr:colOff>
      <xdr:row>38</xdr:row>
      <xdr:rowOff>165735</xdr:rowOff>
    </xdr:to>
    <mc:AlternateContent xmlns:mc="http://schemas.openxmlformats.org/markup-compatibility/2006" xmlns:a14="http://schemas.microsoft.com/office/drawing/2010/main">
      <mc:Choice Requires="a14">
        <xdr:graphicFrame macro="">
          <xdr:nvGraphicFramePr>
            <xdr:cNvPr id="8" name="Manager">
              <a:extLst>
                <a:ext uri="{FF2B5EF4-FFF2-40B4-BE49-F238E27FC236}">
                  <a16:creationId xmlns:a16="http://schemas.microsoft.com/office/drawing/2014/main" id="{AA80ADED-23E0-E3F4-5EAF-A9E715F3B58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534900" y="4765431"/>
              <a:ext cx="1708638" cy="2527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9</xdr:row>
      <xdr:rowOff>76200</xdr:rowOff>
    </xdr:from>
    <xdr:to>
      <xdr:col>23</xdr:col>
      <xdr:colOff>83820</xdr:colOff>
      <xdr:row>17</xdr:row>
      <xdr:rowOff>83819</xdr:rowOff>
    </xdr:to>
    <mc:AlternateContent xmlns:mc="http://schemas.openxmlformats.org/markup-compatibility/2006" xmlns:a14="http://schemas.microsoft.com/office/drawing/2010/main">
      <mc:Choice Requires="a14">
        <xdr:graphicFrame macro="">
          <xdr:nvGraphicFramePr>
            <xdr:cNvPr id="9" name="ProductType">
              <a:extLst>
                <a:ext uri="{FF2B5EF4-FFF2-40B4-BE49-F238E27FC236}">
                  <a16:creationId xmlns:a16="http://schemas.microsoft.com/office/drawing/2014/main" id="{E2BD6412-0E30-1713-5916-989A845B9B64}"/>
                </a:ext>
              </a:extLst>
            </xdr:cNvPr>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mlns="">
        <xdr:sp macro="" textlink="">
          <xdr:nvSpPr>
            <xdr:cNvPr id="0" name=""/>
            <xdr:cNvSpPr>
              <a:spLocks noTextEdit="1"/>
            </xdr:cNvSpPr>
          </xdr:nvSpPr>
          <xdr:spPr>
            <a:xfrm>
              <a:off x="12565380" y="1764323"/>
              <a:ext cx="1539240" cy="1508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3</xdr:row>
      <xdr:rowOff>22861</xdr:rowOff>
    </xdr:from>
    <xdr:to>
      <xdr:col>23</xdr:col>
      <xdr:colOff>53340</xdr:colOff>
      <xdr:row>9</xdr:row>
      <xdr:rowOff>60961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7D2B53C-C14B-57D5-2562-AB65FB7AE9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588240" y="585569"/>
              <a:ext cx="1485900" cy="1163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083307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412"/>
    <n v="22288"/>
    <x v="0"/>
    <n v="25"/>
    <s v="A1"/>
    <n v="54.097087378640779"/>
  </r>
  <r>
    <x v="1"/>
    <x v="1"/>
    <x v="1"/>
    <x v="1"/>
    <x v="1"/>
    <n v="430"/>
    <n v="66500"/>
    <x v="0"/>
    <n v="52"/>
    <s v="A3"/>
    <n v="154.65116279069767"/>
  </r>
  <r>
    <x v="2"/>
    <x v="2"/>
    <x v="2"/>
    <x v="2"/>
    <x v="2"/>
    <n v="478"/>
    <n v="76076"/>
    <x v="1"/>
    <n v="36"/>
    <s v="A2"/>
    <n v="159.15481171548117"/>
  </r>
  <r>
    <x v="3"/>
    <x v="3"/>
    <x v="1"/>
    <x v="3"/>
    <x v="2"/>
    <n v="459"/>
    <n v="17069"/>
    <x v="2"/>
    <n v="57"/>
    <s v="A3"/>
    <n v="37.187363834422655"/>
  </r>
  <r>
    <x v="4"/>
    <x v="4"/>
    <x v="0"/>
    <x v="4"/>
    <x v="2"/>
    <n v="178"/>
    <n v="41349"/>
    <x v="1"/>
    <n v="26"/>
    <s v="A1"/>
    <n v="232.29775280898878"/>
  </r>
  <r>
    <x v="5"/>
    <x v="5"/>
    <x v="1"/>
    <x v="4"/>
    <x v="2"/>
    <n v="401"/>
    <n v="19691"/>
    <x v="1"/>
    <n v="26"/>
    <s v="A1"/>
    <n v="49.104738154613464"/>
  </r>
  <r>
    <x v="6"/>
    <x v="6"/>
    <x v="1"/>
    <x v="5"/>
    <x v="2"/>
    <n v="68"/>
    <n v="11696"/>
    <x v="1"/>
    <n v="28"/>
    <s v="A1"/>
    <n v="172"/>
  </r>
  <r>
    <x v="7"/>
    <x v="7"/>
    <x v="1"/>
    <x v="6"/>
    <x v="3"/>
    <n v="447"/>
    <n v="52269"/>
    <x v="1"/>
    <n v="28"/>
    <s v="A1"/>
    <n v="116.93288590604027"/>
  </r>
  <r>
    <x v="8"/>
    <x v="8"/>
    <x v="1"/>
    <x v="7"/>
    <x v="3"/>
    <n v="55"/>
    <n v="25893"/>
    <x v="1"/>
    <n v="42"/>
    <s v="A2"/>
    <n v="470.78181818181821"/>
  </r>
  <r>
    <x v="9"/>
    <x v="9"/>
    <x v="1"/>
    <x v="7"/>
    <x v="0"/>
    <n v="396"/>
    <n v="38480"/>
    <x v="0"/>
    <n v="42"/>
    <s v="A2"/>
    <n v="97.171717171717177"/>
  </r>
  <r>
    <x v="10"/>
    <x v="10"/>
    <x v="1"/>
    <x v="8"/>
    <x v="2"/>
    <n v="494"/>
    <n v="46767"/>
    <x v="0"/>
    <n v="25"/>
    <s v="A1"/>
    <n v="94.670040485829958"/>
  </r>
  <r>
    <x v="11"/>
    <x v="11"/>
    <x v="1"/>
    <x v="8"/>
    <x v="0"/>
    <n v="462"/>
    <n v="26145"/>
    <x v="2"/>
    <n v="25"/>
    <s v="A1"/>
    <n v="56.590909090909093"/>
  </r>
  <r>
    <x v="12"/>
    <x v="6"/>
    <x v="2"/>
    <x v="0"/>
    <x v="3"/>
    <n v="435"/>
    <n v="64090"/>
    <x v="0"/>
    <n v="25"/>
    <s v="A1"/>
    <n v="147.33333333333334"/>
  </r>
  <r>
    <x v="13"/>
    <x v="12"/>
    <x v="0"/>
    <x v="4"/>
    <x v="0"/>
    <n v="332"/>
    <n v="679"/>
    <x v="0"/>
    <n v="26"/>
    <s v="A1"/>
    <n v="2.0451807228915664"/>
  </r>
  <r>
    <x v="14"/>
    <x v="13"/>
    <x v="2"/>
    <x v="7"/>
    <x v="0"/>
    <n v="383"/>
    <n v="39008"/>
    <x v="2"/>
    <n v="42"/>
    <s v="A2"/>
    <n v="101.8485639686684"/>
  </r>
  <r>
    <x v="15"/>
    <x v="14"/>
    <x v="2"/>
    <x v="4"/>
    <x v="1"/>
    <n v="193"/>
    <n v="18796"/>
    <x v="1"/>
    <n v="26"/>
    <s v="A1"/>
    <n v="97.388601036269435"/>
  </r>
  <r>
    <x v="16"/>
    <x v="15"/>
    <x v="1"/>
    <x v="7"/>
    <x v="2"/>
    <n v="240"/>
    <n v="65052"/>
    <x v="0"/>
    <n v="42"/>
    <s v="A2"/>
    <n v="271.05"/>
  </r>
  <r>
    <x v="17"/>
    <x v="16"/>
    <x v="1"/>
    <x v="9"/>
    <x v="0"/>
    <n v="363"/>
    <n v="38232"/>
    <x v="0"/>
    <n v="49"/>
    <s v="A3"/>
    <n v="105.32231404958678"/>
  </r>
  <r>
    <x v="18"/>
    <x v="17"/>
    <x v="1"/>
    <x v="9"/>
    <x v="0"/>
    <n v="443"/>
    <n v="50652"/>
    <x v="1"/>
    <n v="49"/>
    <s v="A3"/>
    <n v="114.33860045146727"/>
  </r>
  <r>
    <x v="19"/>
    <x v="18"/>
    <x v="1"/>
    <x v="7"/>
    <x v="3"/>
    <n v="331"/>
    <n v="27140"/>
    <x v="1"/>
    <n v="42"/>
    <s v="A2"/>
    <n v="81.993957703927492"/>
  </r>
  <r>
    <x v="20"/>
    <x v="19"/>
    <x v="0"/>
    <x v="7"/>
    <x v="2"/>
    <n v="250"/>
    <n v="11385"/>
    <x v="1"/>
    <n v="42"/>
    <s v="A2"/>
    <n v="45.54"/>
  </r>
  <r>
    <x v="21"/>
    <x v="20"/>
    <x v="1"/>
    <x v="9"/>
    <x v="2"/>
    <n v="180"/>
    <n v="33684"/>
    <x v="0"/>
    <n v="49"/>
    <s v="A3"/>
    <n v="187.13333333333333"/>
  </r>
  <r>
    <x v="22"/>
    <x v="21"/>
    <x v="2"/>
    <x v="5"/>
    <x v="0"/>
    <n v="90"/>
    <n v="42328"/>
    <x v="0"/>
    <n v="28"/>
    <s v="A1"/>
    <n v="470.31111111111113"/>
  </r>
  <r>
    <x v="23"/>
    <x v="22"/>
    <x v="0"/>
    <x v="3"/>
    <x v="2"/>
    <n v="458"/>
    <n v="42873"/>
    <x v="0"/>
    <n v="57"/>
    <s v="A3"/>
    <n v="93.609170305676855"/>
  </r>
  <r>
    <x v="24"/>
    <x v="23"/>
    <x v="1"/>
    <x v="4"/>
    <x v="0"/>
    <n v="439"/>
    <n v="31392"/>
    <x v="1"/>
    <n v="26"/>
    <s v="A1"/>
    <n v="71.50797266514806"/>
  </r>
  <r>
    <x v="25"/>
    <x v="24"/>
    <x v="1"/>
    <x v="7"/>
    <x v="0"/>
    <n v="406"/>
    <n v="47880"/>
    <x v="1"/>
    <n v="42"/>
    <s v="A2"/>
    <n v="117.93103448275862"/>
  </r>
  <r>
    <x v="26"/>
    <x v="25"/>
    <x v="1"/>
    <x v="7"/>
    <x v="3"/>
    <n v="422"/>
    <n v="13490"/>
    <x v="0"/>
    <n v="42"/>
    <s v="A2"/>
    <n v="31.966824644549764"/>
  </r>
  <r>
    <x v="27"/>
    <x v="26"/>
    <x v="1"/>
    <x v="3"/>
    <x v="0"/>
    <n v="444"/>
    <n v="7272"/>
    <x v="1"/>
    <n v="57"/>
    <s v="A3"/>
    <n v="16.378378378378379"/>
  </r>
  <r>
    <x v="28"/>
    <x v="27"/>
    <x v="1"/>
    <x v="7"/>
    <x v="3"/>
    <n v="499"/>
    <n v="48316"/>
    <x v="0"/>
    <n v="42"/>
    <s v="A2"/>
    <n v="96.825651302605209"/>
  </r>
  <r>
    <x v="29"/>
    <x v="28"/>
    <x v="1"/>
    <x v="8"/>
    <x v="0"/>
    <n v="290"/>
    <n v="15132"/>
    <x v="2"/>
    <n v="25"/>
    <s v="A1"/>
    <n v="52.179310344827584"/>
  </r>
  <r>
    <x v="30"/>
    <x v="29"/>
    <x v="2"/>
    <x v="7"/>
    <x v="3"/>
    <n v="369"/>
    <n v="5246"/>
    <x v="1"/>
    <n v="42"/>
    <s v="A2"/>
    <n v="14.21680216802168"/>
  </r>
  <r>
    <x v="31"/>
    <x v="30"/>
    <x v="3"/>
    <x v="7"/>
    <x v="0"/>
    <n v="389"/>
    <n v="37744"/>
    <x v="1"/>
    <n v="42"/>
    <s v="A2"/>
    <n v="97.028277634961441"/>
  </r>
  <r>
    <x v="32"/>
    <x v="31"/>
    <x v="3"/>
    <x v="8"/>
    <x v="3"/>
    <n v="511"/>
    <n v="679"/>
    <x v="0"/>
    <n v="25"/>
    <s v="A1"/>
    <n v="1.3287671232876712"/>
  </r>
  <r>
    <x v="33"/>
    <x v="32"/>
    <x v="1"/>
    <x v="6"/>
    <x v="2"/>
    <n v="333"/>
    <n v="48000"/>
    <x v="0"/>
    <n v="28"/>
    <s v="A1"/>
    <n v="144.14414414414415"/>
  </r>
  <r>
    <x v="34"/>
    <x v="3"/>
    <x v="1"/>
    <x v="1"/>
    <x v="2"/>
    <n v="260"/>
    <n v="34680"/>
    <x v="1"/>
    <n v="52"/>
    <s v="A3"/>
    <n v="133.38461538461539"/>
  </r>
  <r>
    <x v="35"/>
    <x v="33"/>
    <x v="1"/>
    <x v="4"/>
    <x v="2"/>
    <n v="460"/>
    <n v="50274"/>
    <x v="1"/>
    <n v="26"/>
    <s v="A1"/>
    <n v="109.29130434782608"/>
  </r>
  <r>
    <x v="36"/>
    <x v="34"/>
    <x v="2"/>
    <x v="9"/>
    <x v="0"/>
    <n v="145"/>
    <n v="43615"/>
    <x v="1"/>
    <n v="49"/>
    <s v="A3"/>
    <n v="300.79310344827587"/>
  </r>
  <r>
    <x v="37"/>
    <x v="35"/>
    <x v="1"/>
    <x v="7"/>
    <x v="3"/>
    <n v="115"/>
    <n v="14076"/>
    <x v="0"/>
    <n v="42"/>
    <s v="A2"/>
    <n v="122.4"/>
  </r>
  <r>
    <x v="38"/>
    <x v="36"/>
    <x v="2"/>
    <x v="2"/>
    <x v="0"/>
    <n v="248"/>
    <n v="12870"/>
    <x v="0"/>
    <n v="36"/>
    <s v="A2"/>
    <n v="51.895161290322584"/>
  </r>
  <r>
    <x v="39"/>
    <x v="37"/>
    <x v="3"/>
    <x v="1"/>
    <x v="0"/>
    <n v="165"/>
    <n v="679"/>
    <x v="1"/>
    <n v="52"/>
    <s v="A3"/>
    <n v="4.1151515151515152"/>
  </r>
  <r>
    <x v="40"/>
    <x v="38"/>
    <x v="1"/>
    <x v="7"/>
    <x v="1"/>
    <n v="51"/>
    <n v="35280"/>
    <x v="1"/>
    <n v="42"/>
    <s v="A2"/>
    <n v="691.76470588235293"/>
  </r>
  <r>
    <x v="41"/>
    <x v="39"/>
    <x v="2"/>
    <x v="7"/>
    <x v="0"/>
    <n v="382"/>
    <n v="37490"/>
    <x v="1"/>
    <n v="42"/>
    <s v="A2"/>
    <n v="98.141361256544499"/>
  </r>
  <r>
    <x v="42"/>
    <x v="40"/>
    <x v="2"/>
    <x v="7"/>
    <x v="0"/>
    <n v="354"/>
    <n v="679"/>
    <x v="1"/>
    <n v="42"/>
    <s v="A2"/>
    <n v="1.9180790960451977"/>
  </r>
  <r>
    <x v="43"/>
    <x v="41"/>
    <x v="3"/>
    <x v="1"/>
    <x v="1"/>
    <n v="368"/>
    <n v="46068"/>
    <x v="0"/>
    <n v="52"/>
    <s v="A3"/>
    <n v="125.18478260869566"/>
  </r>
  <r>
    <x v="44"/>
    <x v="42"/>
    <x v="1"/>
    <x v="2"/>
    <x v="3"/>
    <n v="79"/>
    <n v="11078"/>
    <x v="0"/>
    <n v="36"/>
    <s v="A2"/>
    <n v="140.22784810126583"/>
  </r>
  <r>
    <x v="45"/>
    <x v="43"/>
    <x v="1"/>
    <x v="5"/>
    <x v="0"/>
    <n v="231"/>
    <n v="32045"/>
    <x v="0"/>
    <n v="28"/>
    <s v="A1"/>
    <n v="138.72294372294371"/>
  </r>
  <r>
    <x v="46"/>
    <x v="44"/>
    <x v="3"/>
    <x v="3"/>
    <x v="0"/>
    <n v="288"/>
    <n v="33284"/>
    <x v="0"/>
    <n v="57"/>
    <s v="A3"/>
    <n v="115.56944444444444"/>
  </r>
  <r>
    <x v="47"/>
    <x v="45"/>
    <x v="2"/>
    <x v="4"/>
    <x v="3"/>
    <n v="214"/>
    <n v="11954"/>
    <x v="0"/>
    <n v="26"/>
    <s v="A1"/>
    <n v="55.859813084112147"/>
  </r>
  <r>
    <x v="48"/>
    <x v="5"/>
    <x v="0"/>
    <x v="4"/>
    <x v="2"/>
    <n v="74"/>
    <n v="36708"/>
    <x v="1"/>
    <n v="26"/>
    <s v="A1"/>
    <n v="496.05405405405406"/>
  </r>
  <r>
    <x v="49"/>
    <x v="46"/>
    <x v="2"/>
    <x v="0"/>
    <x v="1"/>
    <n v="177"/>
    <n v="30600"/>
    <x v="1"/>
    <n v="25"/>
    <s v="A1"/>
    <n v="172.88135593220338"/>
  </r>
  <r>
    <x v="50"/>
    <x v="47"/>
    <x v="0"/>
    <x v="3"/>
    <x v="2"/>
    <n v="358"/>
    <n v="13568"/>
    <x v="0"/>
    <n v="57"/>
    <s v="A3"/>
    <n v="37.899441340782126"/>
  </r>
  <r>
    <x v="51"/>
    <x v="5"/>
    <x v="0"/>
    <x v="7"/>
    <x v="2"/>
    <n v="343"/>
    <n v="33344"/>
    <x v="1"/>
    <n v="42"/>
    <s v="A2"/>
    <n v="97.212827988338191"/>
  </r>
  <r>
    <x v="52"/>
    <x v="48"/>
    <x v="3"/>
    <x v="7"/>
    <x v="2"/>
    <n v="63"/>
    <n v="3960"/>
    <x v="1"/>
    <n v="42"/>
    <s v="A2"/>
    <n v="62.857142857142854"/>
  </r>
  <r>
    <x v="53"/>
    <x v="49"/>
    <x v="1"/>
    <x v="6"/>
    <x v="0"/>
    <n v="429"/>
    <n v="58208"/>
    <x v="1"/>
    <n v="28"/>
    <s v="A1"/>
    <n v="135.68298368298369"/>
  </r>
  <r>
    <x v="54"/>
    <x v="50"/>
    <x v="0"/>
    <x v="7"/>
    <x v="1"/>
    <n v="491"/>
    <n v="59458"/>
    <x v="1"/>
    <n v="42"/>
    <s v="A2"/>
    <n v="121.09572301425662"/>
  </r>
  <r>
    <x v="55"/>
    <x v="51"/>
    <x v="1"/>
    <x v="7"/>
    <x v="0"/>
    <n v="344"/>
    <n v="13872"/>
    <x v="0"/>
    <n v="42"/>
    <s v="A2"/>
    <n v="40.325581395348834"/>
  </r>
  <r>
    <x v="56"/>
    <x v="22"/>
    <x v="1"/>
    <x v="0"/>
    <x v="1"/>
    <n v="255"/>
    <n v="57706"/>
    <x v="0"/>
    <n v="25"/>
    <s v="A1"/>
    <n v="226.29803921568629"/>
  </r>
  <r>
    <x v="57"/>
    <x v="52"/>
    <x v="0"/>
    <x v="7"/>
    <x v="0"/>
    <n v="160"/>
    <n v="59248"/>
    <x v="0"/>
    <n v="42"/>
    <s v="A2"/>
    <n v="370.3"/>
  </r>
  <r>
    <x v="58"/>
    <x v="53"/>
    <x v="2"/>
    <x v="0"/>
    <x v="3"/>
    <n v="322"/>
    <n v="29440"/>
    <x v="1"/>
    <n v="25"/>
    <s v="A1"/>
    <n v="91.428571428571431"/>
  </r>
  <r>
    <x v="59"/>
    <x v="54"/>
    <x v="2"/>
    <x v="0"/>
    <x v="2"/>
    <n v="178"/>
    <n v="679"/>
    <x v="1"/>
    <n v="25"/>
    <s v="A1"/>
    <n v="3.8146067415730336"/>
  </r>
  <r>
    <x v="60"/>
    <x v="26"/>
    <x v="1"/>
    <x v="1"/>
    <x v="0"/>
    <n v="151"/>
    <n v="8475"/>
    <x v="0"/>
    <n v="52"/>
    <s v="A3"/>
    <n v="56.12582781456954"/>
  </r>
  <r>
    <x v="61"/>
    <x v="5"/>
    <x v="1"/>
    <x v="3"/>
    <x v="2"/>
    <n v="535"/>
    <n v="44330"/>
    <x v="1"/>
    <n v="57"/>
    <s v="A3"/>
    <n v="82.859813084112147"/>
  </r>
  <r>
    <x v="62"/>
    <x v="49"/>
    <x v="3"/>
    <x v="0"/>
    <x v="0"/>
    <n v="305"/>
    <n v="3186"/>
    <x v="0"/>
    <n v="25"/>
    <s v="A1"/>
    <n v="10.445901639344262"/>
  </r>
  <r>
    <x v="63"/>
    <x v="55"/>
    <x v="1"/>
    <x v="0"/>
    <x v="3"/>
    <n v="188"/>
    <n v="679"/>
    <x v="0"/>
    <n v="25"/>
    <s v="A1"/>
    <n v="3.6117021276595747"/>
  </r>
  <r>
    <x v="64"/>
    <x v="56"/>
    <x v="3"/>
    <x v="7"/>
    <x v="0"/>
    <n v="495"/>
    <n v="679"/>
    <x v="1"/>
    <n v="42"/>
    <s v="A2"/>
    <n v="1.3717171717171717"/>
  </r>
  <r>
    <x v="65"/>
    <x v="57"/>
    <x v="1"/>
    <x v="5"/>
    <x v="3"/>
    <n v="190"/>
    <n v="28050"/>
    <x v="0"/>
    <n v="28"/>
    <s v="A1"/>
    <n v="147.63157894736841"/>
  </r>
  <r>
    <x v="66"/>
    <x v="58"/>
    <x v="1"/>
    <x v="4"/>
    <x v="0"/>
    <n v="511"/>
    <n v="16698"/>
    <x v="2"/>
    <n v="26"/>
    <s v="A1"/>
    <n v="32.677103718199611"/>
  </r>
  <r>
    <x v="67"/>
    <x v="5"/>
    <x v="0"/>
    <x v="9"/>
    <x v="0"/>
    <n v="308"/>
    <n v="27956"/>
    <x v="2"/>
    <n v="49"/>
    <s v="A3"/>
    <n v="90.766233766233768"/>
  </r>
  <r>
    <x v="68"/>
    <x v="59"/>
    <x v="3"/>
    <x v="2"/>
    <x v="1"/>
    <n v="183"/>
    <n v="679"/>
    <x v="1"/>
    <n v="36"/>
    <s v="A2"/>
    <n v="3.7103825136612021"/>
  </r>
  <r>
    <x v="69"/>
    <x v="60"/>
    <x v="2"/>
    <x v="7"/>
    <x v="1"/>
    <n v="335"/>
    <n v="36984"/>
    <x v="0"/>
    <n v="42"/>
    <s v="A2"/>
    <n v="110.4"/>
  </r>
  <r>
    <x v="70"/>
    <x v="5"/>
    <x v="2"/>
    <x v="9"/>
    <x v="1"/>
    <n v="95"/>
    <n v="46800"/>
    <x v="1"/>
    <n v="49"/>
    <s v="A3"/>
    <n v="492.63157894736844"/>
  </r>
  <r>
    <x v="71"/>
    <x v="61"/>
    <x v="2"/>
    <x v="7"/>
    <x v="1"/>
    <n v="218"/>
    <n v="7125"/>
    <x v="1"/>
    <n v="42"/>
    <s v="A2"/>
    <n v="32.683486238532112"/>
  </r>
  <r>
    <x v="72"/>
    <x v="62"/>
    <x v="1"/>
    <x v="7"/>
    <x v="2"/>
    <n v="265"/>
    <n v="12320"/>
    <x v="0"/>
    <n v="42"/>
    <s v="A2"/>
    <n v="46.490566037735846"/>
  </r>
  <r>
    <x v="73"/>
    <x v="63"/>
    <x v="1"/>
    <x v="1"/>
    <x v="3"/>
    <n v="213"/>
    <n v="42028"/>
    <x v="0"/>
    <n v="52"/>
    <s v="A3"/>
    <n v="197.31455399061034"/>
  </r>
  <r>
    <x v="74"/>
    <x v="64"/>
    <x v="1"/>
    <x v="6"/>
    <x v="0"/>
    <n v="128"/>
    <n v="679"/>
    <x v="1"/>
    <n v="28"/>
    <s v="A1"/>
    <n v="5.3046875"/>
  </r>
  <r>
    <x v="75"/>
    <x v="8"/>
    <x v="2"/>
    <x v="0"/>
    <x v="3"/>
    <n v="208"/>
    <n v="25758"/>
    <x v="2"/>
    <n v="25"/>
    <s v="A1"/>
    <n v="123.83653846153847"/>
  </r>
  <r>
    <x v="76"/>
    <x v="65"/>
    <x v="1"/>
    <x v="7"/>
    <x v="1"/>
    <n v="115"/>
    <n v="34804"/>
    <x v="0"/>
    <n v="42"/>
    <s v="A2"/>
    <n v="302.64347826086959"/>
  </r>
  <r>
    <x v="77"/>
    <x v="17"/>
    <x v="0"/>
    <x v="4"/>
    <x v="0"/>
    <n v="465"/>
    <n v="679"/>
    <x v="0"/>
    <n v="26"/>
    <s v="A1"/>
    <n v="1.4602150537634409"/>
  </r>
  <r>
    <x v="78"/>
    <x v="66"/>
    <x v="3"/>
    <x v="7"/>
    <x v="2"/>
    <n v="519"/>
    <n v="45312"/>
    <x v="1"/>
    <n v="42"/>
    <s v="A2"/>
    <n v="87.306358381502889"/>
  </r>
  <r>
    <x v="79"/>
    <x v="5"/>
    <x v="0"/>
    <x v="3"/>
    <x v="2"/>
    <n v="380"/>
    <n v="44525"/>
    <x v="2"/>
    <n v="57"/>
    <s v="A3"/>
    <n v="117.17105263157895"/>
  </r>
  <r>
    <x v="80"/>
    <x v="10"/>
    <x v="3"/>
    <x v="7"/>
    <x v="0"/>
    <n v="32"/>
    <n v="3132"/>
    <x v="1"/>
    <n v="42"/>
    <s v="A2"/>
    <n v="97.875"/>
  </r>
  <r>
    <x v="81"/>
    <x v="67"/>
    <x v="3"/>
    <x v="0"/>
    <x v="1"/>
    <n v="130"/>
    <n v="16740"/>
    <x v="0"/>
    <n v="25"/>
    <s v="A1"/>
    <n v="128.76923076923077"/>
  </r>
  <r>
    <x v="82"/>
    <x v="18"/>
    <x v="1"/>
    <x v="4"/>
    <x v="2"/>
    <n v="545"/>
    <n v="65250"/>
    <x v="0"/>
    <n v="26"/>
    <s v="A1"/>
    <n v="119.72477064220183"/>
  </r>
  <r>
    <x v="83"/>
    <x v="68"/>
    <x v="1"/>
    <x v="5"/>
    <x v="3"/>
    <n v="84"/>
    <n v="10688"/>
    <x v="0"/>
    <n v="28"/>
    <s v="A1"/>
    <n v="127.23809523809524"/>
  </r>
  <r>
    <x v="84"/>
    <x v="69"/>
    <x v="1"/>
    <x v="7"/>
    <x v="3"/>
    <n v="192"/>
    <n v="18648"/>
    <x v="0"/>
    <n v="42"/>
    <s v="A2"/>
    <n v="97.125"/>
  </r>
  <r>
    <x v="85"/>
    <x v="70"/>
    <x v="0"/>
    <x v="5"/>
    <x v="0"/>
    <n v="60"/>
    <n v="5822"/>
    <x v="1"/>
    <n v="28"/>
    <s v="A1"/>
    <n v="97.033333333333331"/>
  </r>
  <r>
    <x v="86"/>
    <x v="71"/>
    <x v="1"/>
    <x v="7"/>
    <x v="1"/>
    <n v="209"/>
    <n v="51221"/>
    <x v="0"/>
    <n v="42"/>
    <s v="A2"/>
    <n v="245.07655502392345"/>
  </r>
  <r>
    <x v="87"/>
    <x v="72"/>
    <x v="2"/>
    <x v="5"/>
    <x v="1"/>
    <n v="264"/>
    <n v="75332"/>
    <x v="0"/>
    <n v="28"/>
    <s v="A1"/>
    <n v="285.34848484848487"/>
  </r>
  <r>
    <x v="88"/>
    <x v="73"/>
    <x v="1"/>
    <x v="4"/>
    <x v="3"/>
    <n v="97"/>
    <n v="679"/>
    <x v="0"/>
    <n v="26"/>
    <s v="A1"/>
    <n v="7"/>
  </r>
  <r>
    <x v="89"/>
    <x v="74"/>
    <x v="1"/>
    <x v="4"/>
    <x v="1"/>
    <n v="404"/>
    <n v="13310"/>
    <x v="0"/>
    <n v="26"/>
    <s v="A1"/>
    <n v="32.945544554455445"/>
  </r>
  <r>
    <x v="90"/>
    <x v="75"/>
    <x v="2"/>
    <x v="7"/>
    <x v="2"/>
    <n v="386"/>
    <n v="47952"/>
    <x v="1"/>
    <n v="42"/>
    <s v="A2"/>
    <n v="124.2279792746114"/>
  </r>
  <r>
    <x v="91"/>
    <x v="76"/>
    <x v="0"/>
    <x v="0"/>
    <x v="2"/>
    <n v="214"/>
    <n v="4984"/>
    <x v="1"/>
    <n v="25"/>
    <s v="A1"/>
    <n v="23.289719626168225"/>
  </r>
  <r>
    <x v="92"/>
    <x v="77"/>
    <x v="0"/>
    <x v="6"/>
    <x v="0"/>
    <n v="366"/>
    <n v="4131"/>
    <x v="1"/>
    <n v="28"/>
    <s v="A1"/>
    <n v="11.28688524590164"/>
  </r>
  <r>
    <x v="93"/>
    <x v="78"/>
    <x v="2"/>
    <x v="8"/>
    <x v="0"/>
    <n v="173"/>
    <n v="24549"/>
    <x v="1"/>
    <n v="25"/>
    <s v="A1"/>
    <n v="141.90173410404626"/>
  </r>
  <r>
    <x v="94"/>
    <x v="79"/>
    <x v="2"/>
    <x v="7"/>
    <x v="1"/>
    <n v="306"/>
    <n v="679"/>
    <x v="0"/>
    <n v="42"/>
    <s v="A2"/>
    <n v="2.2189542483660132"/>
  </r>
  <r>
    <x v="95"/>
    <x v="80"/>
    <x v="2"/>
    <x v="5"/>
    <x v="0"/>
    <n v="128"/>
    <n v="35088"/>
    <x v="1"/>
    <n v="28"/>
    <s v="A1"/>
    <n v="274.125"/>
  </r>
  <r>
    <x v="96"/>
    <x v="81"/>
    <x v="1"/>
    <x v="0"/>
    <x v="3"/>
    <n v="368"/>
    <n v="25254"/>
    <x v="0"/>
    <n v="25"/>
    <s v="A1"/>
    <n v="68.625"/>
  </r>
  <r>
    <x v="97"/>
    <x v="82"/>
    <x v="1"/>
    <x v="3"/>
    <x v="2"/>
    <n v="222"/>
    <n v="17500"/>
    <x v="1"/>
    <n v="57"/>
    <s v="A3"/>
    <n v="78.828828828828833"/>
  </r>
  <r>
    <x v="98"/>
    <x v="83"/>
    <x v="1"/>
    <x v="7"/>
    <x v="3"/>
    <n v="216"/>
    <n v="36934"/>
    <x v="0"/>
    <n v="42"/>
    <s v="A2"/>
    <n v="170.99074074074073"/>
  </r>
  <r>
    <x v="99"/>
    <x v="26"/>
    <x v="1"/>
    <x v="1"/>
    <x v="3"/>
    <n v="307"/>
    <n v="679"/>
    <x v="0"/>
    <n v="52"/>
    <s v="A3"/>
    <n v="2.2117263843648209"/>
  </r>
  <r>
    <x v="100"/>
    <x v="15"/>
    <x v="0"/>
    <x v="0"/>
    <x v="1"/>
    <n v="384"/>
    <n v="40565"/>
    <x v="0"/>
    <n v="25"/>
    <s v="A1"/>
    <n v="105.63802083333333"/>
  </r>
  <r>
    <x v="101"/>
    <x v="84"/>
    <x v="3"/>
    <x v="4"/>
    <x v="0"/>
    <n v="376"/>
    <n v="679"/>
    <x v="0"/>
    <n v="26"/>
    <s v="A1"/>
    <n v="1.8058510638297873"/>
  </r>
  <r>
    <x v="102"/>
    <x v="85"/>
    <x v="3"/>
    <x v="3"/>
    <x v="0"/>
    <n v="97"/>
    <n v="679"/>
    <x v="0"/>
    <n v="57"/>
    <s v="A3"/>
    <n v="7"/>
  </r>
  <r>
    <x v="103"/>
    <x v="86"/>
    <x v="1"/>
    <x v="7"/>
    <x v="2"/>
    <n v="359"/>
    <n v="12753"/>
    <x v="1"/>
    <n v="42"/>
    <s v="A2"/>
    <n v="35.523676880222844"/>
  </r>
  <r>
    <x v="104"/>
    <x v="5"/>
    <x v="2"/>
    <x v="7"/>
    <x v="2"/>
    <n v="318"/>
    <n v="16864"/>
    <x v="1"/>
    <n v="42"/>
    <s v="A2"/>
    <n v="53.031446540880502"/>
  </r>
  <r>
    <x v="105"/>
    <x v="87"/>
    <x v="0"/>
    <x v="7"/>
    <x v="0"/>
    <n v="51"/>
    <n v="56888"/>
    <x v="0"/>
    <n v="42"/>
    <s v="A2"/>
    <n v="1115.4509803921569"/>
  </r>
  <r>
    <x v="106"/>
    <x v="88"/>
    <x v="3"/>
    <x v="5"/>
    <x v="2"/>
    <n v="236"/>
    <n v="679"/>
    <x v="2"/>
    <n v="28"/>
    <s v="A1"/>
    <n v="2.8771186440677967"/>
  </r>
  <r>
    <x v="107"/>
    <x v="89"/>
    <x v="1"/>
    <x v="7"/>
    <x v="0"/>
    <n v="214"/>
    <n v="31122"/>
    <x v="1"/>
    <n v="42"/>
    <s v="A2"/>
    <n v="145.42990654205607"/>
  </r>
  <r>
    <x v="108"/>
    <x v="90"/>
    <x v="3"/>
    <x v="6"/>
    <x v="0"/>
    <n v="86"/>
    <n v="25853"/>
    <x v="0"/>
    <n v="28"/>
    <s v="A1"/>
    <n v="300.61627906976742"/>
  </r>
  <r>
    <x v="109"/>
    <x v="91"/>
    <x v="1"/>
    <x v="1"/>
    <x v="2"/>
    <n v="155"/>
    <n v="11092"/>
    <x v="0"/>
    <n v="52"/>
    <s v="A3"/>
    <n v="71.561290322580646"/>
  </r>
  <r>
    <x v="110"/>
    <x v="84"/>
    <x v="2"/>
    <x v="4"/>
    <x v="3"/>
    <n v="319"/>
    <n v="4221"/>
    <x v="1"/>
    <n v="26"/>
    <s v="A1"/>
    <n v="13.231974921630094"/>
  </r>
  <r>
    <x v="111"/>
    <x v="92"/>
    <x v="3"/>
    <x v="8"/>
    <x v="0"/>
    <n v="62"/>
    <n v="31500"/>
    <x v="1"/>
    <n v="25"/>
    <s v="A1"/>
    <n v="508.06451612903226"/>
  </r>
  <r>
    <x v="112"/>
    <x v="93"/>
    <x v="3"/>
    <x v="4"/>
    <x v="0"/>
    <n v="81"/>
    <n v="31414"/>
    <x v="0"/>
    <n v="26"/>
    <s v="A1"/>
    <n v="387.82716049382714"/>
  </r>
  <r>
    <x v="113"/>
    <x v="94"/>
    <x v="2"/>
    <x v="3"/>
    <x v="0"/>
    <n v="126"/>
    <n v="40446"/>
    <x v="2"/>
    <n v="57"/>
    <s v="A3"/>
    <n v="321"/>
  </r>
  <r>
    <x v="114"/>
    <x v="60"/>
    <x v="1"/>
    <x v="4"/>
    <x v="0"/>
    <n v="541"/>
    <n v="42432"/>
    <x v="0"/>
    <n v="26"/>
    <s v="A1"/>
    <n v="78.432532347504619"/>
  </r>
  <r>
    <x v="115"/>
    <x v="95"/>
    <x v="2"/>
    <x v="5"/>
    <x v="1"/>
    <n v="666"/>
    <n v="64635"/>
    <x v="1"/>
    <n v="28"/>
    <s v="A1"/>
    <n v="97.049549549549553"/>
  </r>
  <r>
    <x v="116"/>
    <x v="96"/>
    <x v="2"/>
    <x v="4"/>
    <x v="3"/>
    <n v="527"/>
    <n v="51168"/>
    <x v="1"/>
    <n v="26"/>
    <s v="A1"/>
    <n v="97.092979127134726"/>
  </r>
  <r>
    <x v="117"/>
    <x v="97"/>
    <x v="1"/>
    <x v="7"/>
    <x v="0"/>
    <n v="289"/>
    <n v="24948"/>
    <x v="1"/>
    <n v="42"/>
    <s v="A2"/>
    <n v="86.325259515570934"/>
  </r>
  <r>
    <x v="118"/>
    <x v="72"/>
    <x v="1"/>
    <x v="3"/>
    <x v="3"/>
    <n v="199"/>
    <n v="56118"/>
    <x v="2"/>
    <n v="57"/>
    <s v="A3"/>
    <n v="282"/>
  </r>
  <r>
    <x v="119"/>
    <x v="98"/>
    <x v="3"/>
    <x v="2"/>
    <x v="0"/>
    <n v="497"/>
    <n v="46548"/>
    <x v="0"/>
    <n v="36"/>
    <s v="A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4">
    <pivotField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items count="11">
        <item h="1" x="5"/>
        <item h="1" x="9"/>
        <item h="1" x="6"/>
        <item h="1" x="8"/>
        <item h="1" x="4"/>
        <item h="1" x="0"/>
        <item h="1" x="1"/>
        <item x="3"/>
        <item h="1" x="7"/>
        <item h="1" x="2"/>
        <item t="default"/>
      </items>
    </pivotField>
    <pivotField axis="axisRow" showAll="0">
      <items count="5">
        <item h="1" x="0"/>
        <item h="1" x="3"/>
        <item h="1" x="1"/>
        <item x="2"/>
        <item t="default"/>
      </items>
    </pivotField>
    <pivotField showAll="0"/>
    <pivotField dataField="1" showAll="0"/>
    <pivotField showAll="0">
      <items count="4">
        <item h="1" x="0"/>
        <item h="1" x="1"/>
        <item x="2"/>
        <item t="default"/>
      </items>
    </pivotField>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3"/>
    </i>
    <i t="grand">
      <x/>
    </i>
  </rowItems>
  <colItems count="1">
    <i/>
  </colItems>
  <dataFields count="1">
    <dataField name="Sum of TotalCost" fld="6" baseField="0" baseItem="0" numFmtId="164"/>
  </dataFields>
  <formats count="1">
    <format dxfId="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E9601-3A9D-42B2-BEB6-F2C64EBCFF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axis="axisRow" showAll="0">
      <items count="11">
        <item x="5"/>
        <item x="9"/>
        <item x="6"/>
        <item x="8"/>
        <item x="4"/>
        <item x="0"/>
        <item x="1"/>
        <item x="3"/>
        <item x="7"/>
        <item x="2"/>
        <item t="default"/>
      </items>
    </pivotField>
    <pivotField showAll="0"/>
    <pivotField showAll="0"/>
    <pivotField showAll="0"/>
    <pivotField showAll="0">
      <items count="4">
        <item h="1" x="0"/>
        <item h="1" x="1"/>
        <item x="2"/>
        <item t="default"/>
      </items>
    </pivotField>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3"/>
    </i>
    <i>
      <x v="4"/>
    </i>
    <i>
      <x v="5"/>
    </i>
    <i>
      <x v="7"/>
    </i>
    <i>
      <x v="8"/>
    </i>
    <i t="grand">
      <x/>
    </i>
  </rowItems>
  <colItems count="1">
    <i/>
  </colItems>
  <dataFields count="1">
    <dataField name="Sum of ProductionID"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666CA-7936-4EFC-B990-3F10DA80A9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showAll="0"/>
    <pivotField showAll="0">
      <items count="4">
        <item h="1" x="0"/>
        <item h="1" x="1"/>
        <item x="2"/>
        <item t="default"/>
      </items>
    </pivotField>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8">
    <i>
      <x v="1"/>
    </i>
    <i r="1">
      <x v="10"/>
    </i>
    <i r="1">
      <x v="11"/>
    </i>
    <i>
      <x v="2"/>
    </i>
    <i r="1">
      <x v="1"/>
    </i>
    <i r="1">
      <x v="2"/>
    </i>
    <i r="1">
      <x v="4"/>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18482-3781-4851-B662-472966443A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showAll="0"/>
    <pivotField showAll="0">
      <items count="4">
        <item h="1" x="0"/>
        <item h="1" x="1"/>
        <item x="2"/>
        <item t="default"/>
      </items>
    </pivotField>
    <pivotField showAll="0"/>
    <pivotField showAll="0"/>
    <pivotField dataField="1" numFmtId="1" showAll="0"/>
    <pivotField showAll="0" defaultSubtotal="0"/>
    <pivotField showAll="0" defaultSubtotal="0"/>
    <pivotField showAll="0" defaultSubtotal="0">
      <items count="4">
        <item x="0"/>
        <item x="1"/>
        <item x="2"/>
        <item x="3"/>
      </items>
    </pivotField>
  </pivotFields>
  <rowFields count="1">
    <field x="4"/>
  </rowFields>
  <rowItems count="4">
    <i>
      <x/>
    </i>
    <i>
      <x v="1"/>
    </i>
    <i>
      <x v="3"/>
    </i>
    <i t="grand">
      <x/>
    </i>
  </rowItems>
  <colItems count="1">
    <i/>
  </colItems>
  <dataFields count="1">
    <dataField name="Sum of Production Cost Per Unit" fld="10" baseField="0" baseItem="0" numFmtId="1"/>
  </dataFields>
  <chartFormats count="9">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9BA500-F801-47CC-A9C7-C14CD9B67F0B}" sourceName="Region">
  <pivotTables>
    <pivotTable tabId="8" name="PivotTable1"/>
  </pivotTables>
  <data>
    <tabular pivotCacheId="1083307150">
      <items count="4">
        <i x="0" s="1"/>
        <i x="1" s="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E42CDE3-F62F-4D48-8E11-372F2033F384}" sourceName="Manager">
  <pivotTables>
    <pivotTable tabId="8" name="PivotTable1"/>
  </pivotTables>
  <data>
    <tabular pivotCacheId="1083307150">
      <items count="10">
        <i x="5"/>
        <i x="3" s="1"/>
        <i x="9" nd="1"/>
        <i x="6" nd="1"/>
        <i x="8" nd="1"/>
        <i x="4" nd="1"/>
        <i x="0" nd="1"/>
        <i x="1" nd="1"/>
        <i x="7"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85869494-4450-44E2-BCC6-441FCD54E537}" sourceName="ProductType">
  <pivotTables>
    <pivotTable tabId="8" name="PivotTable1"/>
  </pivotTables>
  <data>
    <tabular pivotCacheId="1083307150">
      <items count="4">
        <i x="0"/>
        <i x="3"/>
        <i x="2" s="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91D663-49E9-487D-A316-977FF46C6B6E}" sourceName="Gender">
  <pivotTables>
    <pivotTable tabId="8" name="PivotTable1"/>
    <pivotTable tabId="11" name="PivotTable2"/>
    <pivotTable tabId="12" name="PivotTable3"/>
    <pivotTable tabId="10" name="PivotTable1"/>
  </pivotTables>
  <data>
    <tabular pivotCacheId="108330715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E786EE-ECFF-44FA-918F-810A7F5AE35F}" cache="Slicer_Region" caption="Region" rowHeight="234950"/>
  <slicer name="Manager" xr10:uid="{5B30780B-CBCC-47EE-AD10-C234BDBFA861}" cache="Slicer_Manager" caption="Manager" rowHeight="234950"/>
  <slicer name="ProductType" xr10:uid="{6D2842C4-C17F-435E-81AB-1FADEC795FAF}" cache="Slicer_ProductType" caption="ProductType" rowHeight="234950"/>
  <slicer name="Gender" xr10:uid="{6B6C0D2B-138C-42D3-874D-28368EF0EBD4}"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71" zoomScaleNormal="71" workbookViewId="0">
      <selection sqref="A1:K12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5"/>
  <sheetViews>
    <sheetView workbookViewId="0">
      <selection activeCell="A3" sqref="A3"/>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17</v>
      </c>
      <c r="B4" s="5">
        <v>61594</v>
      </c>
    </row>
    <row r="5" spans="1:2" x14ac:dyDescent="0.3">
      <c r="A5" s="4" t="s">
        <v>33</v>
      </c>
      <c r="B5" s="5">
        <v>61594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F366-FBF1-4D98-BA11-AF89912BDA8E}">
  <dimension ref="A3:B11"/>
  <sheetViews>
    <sheetView workbookViewId="0">
      <selection activeCell="P3" sqref="P3"/>
    </sheetView>
  </sheetViews>
  <sheetFormatPr defaultRowHeight="14.4" x14ac:dyDescent="0.3"/>
  <cols>
    <col min="1" max="1" width="12.5546875" bestFit="1" customWidth="1"/>
    <col min="2" max="2" width="18.77734375" bestFit="1" customWidth="1"/>
  </cols>
  <sheetData>
    <row r="3" spans="1:2" x14ac:dyDescent="0.3">
      <c r="A3" s="3" t="s">
        <v>32</v>
      </c>
      <c r="B3" t="s">
        <v>35</v>
      </c>
    </row>
    <row r="4" spans="1:2" x14ac:dyDescent="0.3">
      <c r="A4" s="4" t="s">
        <v>21</v>
      </c>
      <c r="B4">
        <v>107</v>
      </c>
    </row>
    <row r="5" spans="1:2" x14ac:dyDescent="0.3">
      <c r="A5" s="4" t="s">
        <v>26</v>
      </c>
      <c r="B5">
        <v>68</v>
      </c>
    </row>
    <row r="6" spans="1:2" x14ac:dyDescent="0.3">
      <c r="A6" s="4" t="s">
        <v>25</v>
      </c>
      <c r="B6">
        <v>42</v>
      </c>
    </row>
    <row r="7" spans="1:2" x14ac:dyDescent="0.3">
      <c r="A7" s="4" t="s">
        <v>20</v>
      </c>
      <c r="B7">
        <v>67</v>
      </c>
    </row>
    <row r="8" spans="1:2" x14ac:dyDescent="0.3">
      <c r="A8" s="4" t="s">
        <v>9</v>
      </c>
      <c r="B8">
        <v>76</v>
      </c>
    </row>
    <row r="9" spans="1:2" x14ac:dyDescent="0.3">
      <c r="A9" s="4" t="s">
        <v>19</v>
      </c>
      <c r="B9">
        <v>317</v>
      </c>
    </row>
    <row r="10" spans="1:2" x14ac:dyDescent="0.3">
      <c r="A10" s="4" t="s">
        <v>24</v>
      </c>
      <c r="B10">
        <v>15</v>
      </c>
    </row>
    <row r="11" spans="1:2" x14ac:dyDescent="0.3">
      <c r="A11" s="4" t="s">
        <v>33</v>
      </c>
      <c r="B11">
        <v>692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C78F-0E09-4AF9-906E-C39A8351BE51}">
  <dimension ref="A3:B11"/>
  <sheetViews>
    <sheetView workbookViewId="0">
      <selection activeCell="D26" sqref="D26"/>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v>1594</v>
      </c>
    </row>
    <row r="5" spans="1:2" x14ac:dyDescent="0.3">
      <c r="A5" s="6" t="s">
        <v>39</v>
      </c>
      <c r="B5">
        <v>957</v>
      </c>
    </row>
    <row r="6" spans="1:2" x14ac:dyDescent="0.3">
      <c r="A6" s="6" t="s">
        <v>40</v>
      </c>
      <c r="B6">
        <v>637</v>
      </c>
    </row>
    <row r="7" spans="1:2" x14ac:dyDescent="0.3">
      <c r="A7" s="4" t="s">
        <v>37</v>
      </c>
      <c r="B7">
        <v>1968</v>
      </c>
    </row>
    <row r="8" spans="1:2" x14ac:dyDescent="0.3">
      <c r="A8" s="6" t="s">
        <v>41</v>
      </c>
      <c r="B8">
        <v>199</v>
      </c>
    </row>
    <row r="9" spans="1:2" x14ac:dyDescent="0.3">
      <c r="A9" s="6" t="s">
        <v>42</v>
      </c>
      <c r="B9">
        <v>688</v>
      </c>
    </row>
    <row r="10" spans="1:2" x14ac:dyDescent="0.3">
      <c r="A10" s="6" t="s">
        <v>43</v>
      </c>
      <c r="B10">
        <v>1081</v>
      </c>
    </row>
    <row r="11" spans="1:2" x14ac:dyDescent="0.3">
      <c r="A11" s="4" t="s">
        <v>33</v>
      </c>
      <c r="B11">
        <v>3562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ED40-F8D3-4A65-BA34-3D93FA9E647F}">
  <dimension ref="A3:B7"/>
  <sheetViews>
    <sheetView workbookViewId="0">
      <selection activeCell="A3" sqref="A3:B8"/>
    </sheetView>
  </sheetViews>
  <sheetFormatPr defaultRowHeight="14.4" x14ac:dyDescent="0.3"/>
  <cols>
    <col min="1" max="1" width="12.5546875" bestFit="1" customWidth="1"/>
    <col min="2" max="2" width="28.5546875" bestFit="1" customWidth="1"/>
  </cols>
  <sheetData>
    <row r="3" spans="1:2" x14ac:dyDescent="0.3">
      <c r="A3" s="3" t="s">
        <v>32</v>
      </c>
      <c r="B3" t="s">
        <v>44</v>
      </c>
    </row>
    <row r="4" spans="1:2" x14ac:dyDescent="0.3">
      <c r="A4" s="4" t="s">
        <v>10</v>
      </c>
      <c r="B4" s="2">
        <v>655.06212088883842</v>
      </c>
    </row>
    <row r="5" spans="1:2" x14ac:dyDescent="0.3">
      <c r="A5" s="4" t="s">
        <v>23</v>
      </c>
      <c r="B5" s="2">
        <v>405.83653846153845</v>
      </c>
    </row>
    <row r="6" spans="1:2" x14ac:dyDescent="0.3">
      <c r="A6" s="4" t="s">
        <v>17</v>
      </c>
      <c r="B6" s="2">
        <v>157.23553511006941</v>
      </c>
    </row>
    <row r="7" spans="1:2" x14ac:dyDescent="0.3">
      <c r="A7" s="4" t="s">
        <v>33</v>
      </c>
      <c r="B7" s="2">
        <v>1218.1341944604462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075C-99EC-4FBE-8AF3-180C7AE9A4CD}">
  <dimension ref="B1:W3"/>
  <sheetViews>
    <sheetView showGridLines="0" tabSelected="1" zoomScale="65" zoomScaleNormal="65" workbookViewId="0">
      <selection activeCell="AB14" sqref="AB14"/>
    </sheetView>
  </sheetViews>
  <sheetFormatPr defaultRowHeight="14.4" x14ac:dyDescent="0.3"/>
  <sheetData>
    <row r="1" spans="2:23" x14ac:dyDescent="0.3">
      <c r="B1" s="7" t="s">
        <v>45</v>
      </c>
      <c r="C1" s="8"/>
      <c r="D1" s="8"/>
      <c r="E1" s="8"/>
      <c r="F1" s="8"/>
      <c r="G1" s="8"/>
      <c r="H1" s="8"/>
      <c r="I1" s="8"/>
      <c r="J1" s="8"/>
      <c r="K1" s="8"/>
      <c r="L1" s="8"/>
      <c r="M1" s="8"/>
      <c r="N1" s="8"/>
      <c r="O1" s="8"/>
      <c r="P1" s="8"/>
      <c r="Q1" s="8"/>
      <c r="R1" s="8"/>
      <c r="S1" s="8"/>
      <c r="T1" s="8"/>
      <c r="U1" s="8"/>
      <c r="V1" s="8"/>
      <c r="W1" s="8"/>
    </row>
    <row r="2" spans="2:23" x14ac:dyDescent="0.3">
      <c r="B2" s="8"/>
      <c r="C2" s="8"/>
      <c r="D2" s="8"/>
      <c r="E2" s="8"/>
      <c r="F2" s="8"/>
      <c r="G2" s="8"/>
      <c r="H2" s="8"/>
      <c r="I2" s="8"/>
      <c r="J2" s="8"/>
      <c r="K2" s="8"/>
      <c r="L2" s="8"/>
      <c r="M2" s="8"/>
      <c r="N2" s="8"/>
      <c r="O2" s="8"/>
      <c r="P2" s="8"/>
      <c r="Q2" s="8"/>
      <c r="R2" s="8"/>
      <c r="S2" s="8"/>
      <c r="T2" s="8"/>
      <c r="U2" s="8"/>
      <c r="V2" s="8"/>
      <c r="W2" s="8"/>
    </row>
    <row r="3" spans="2:23" x14ac:dyDescent="0.3">
      <c r="B3" s="8"/>
      <c r="C3" s="8"/>
      <c r="D3" s="8"/>
      <c r="E3" s="8"/>
      <c r="F3" s="8"/>
      <c r="G3" s="8"/>
      <c r="H3" s="8"/>
      <c r="I3" s="8"/>
      <c r="J3" s="8"/>
      <c r="K3" s="8"/>
      <c r="L3" s="8"/>
      <c r="M3" s="8"/>
      <c r="N3" s="8"/>
      <c r="O3" s="8"/>
      <c r="P3" s="8"/>
      <c r="Q3" s="8"/>
      <c r="R3" s="8"/>
      <c r="S3" s="8"/>
      <c r="T3" s="8"/>
      <c r="U3" s="8"/>
      <c r="V3" s="8"/>
      <c r="W3" s="8"/>
    </row>
  </sheetData>
  <mergeCells count="1">
    <mergeCell ref="B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Production Dataset</vt:lpstr>
      <vt:lpstr>Pivot 1</vt:lpstr>
      <vt:lpstr>pivot2</vt:lpstr>
      <vt:lpstr>pivot 3</vt:lpstr>
      <vt:lpstr>pivot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SAKSCHI SHAW</cp:lastModifiedBy>
  <dcterms:created xsi:type="dcterms:W3CDTF">2015-06-05T18:17:20Z</dcterms:created>
  <dcterms:modified xsi:type="dcterms:W3CDTF">2025-11-07T05:50:49Z</dcterms:modified>
</cp:coreProperties>
</file>